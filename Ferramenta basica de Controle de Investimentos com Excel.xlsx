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564501EE-6AAD-4332-8CBB-9BE7E1A5B5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128" i="1"/>
  <c r="C128" i="1"/>
  <c r="D128" i="1"/>
  <c r="E128" i="1"/>
  <c r="F128" i="1"/>
  <c r="F10" i="1"/>
  <c r="E10" i="1"/>
  <c r="D10" i="1"/>
  <c r="C10" i="1"/>
  <c r="B10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<sst xmlns="http://schemas.openxmlformats.org/spreadsheetml/2006/main" count="12" uniqueCount="12">
  <si>
    <t>Descrição</t>
  </si>
  <si>
    <t>Sugestão de Valor</t>
  </si>
  <si>
    <t>Aporte Inicial (R$)</t>
  </si>
  <si>
    <t>Aporte Mensal (R$)</t>
  </si>
  <si>
    <t>Taxa de Dividendos (Yield %)</t>
  </si>
  <si>
    <t>Preço Médio da Cota (R$)</t>
  </si>
  <si>
    <t>Mês</t>
  </si>
  <si>
    <t>Saldo Inicial</t>
  </si>
  <si>
    <t>Aporte do Mês</t>
  </si>
  <si>
    <t>Dividendos Recebidos</t>
  </si>
  <si>
    <t>Saldo Final</t>
  </si>
  <si>
    <t>Qtd. de Cotas (Acumulado)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</si>
</sst>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readingOrder="1"/>
    </xf>
    <xf numFmtId="10" fontId="1" fillId="0" borderId="2" xfId="0" applyNumberFormat="1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0" fillId="0" borderId="0" xfId="0" applyFill="1"/>
    <xf numFmtId="169" fontId="1" fillId="0" borderId="2" xfId="0" applyNumberFormat="1" applyFont="1" applyBorder="1" applyAlignment="1">
      <alignment readingOrder="1"/>
    </xf>
    <xf numFmtId="169" fontId="1" fillId="0" borderId="6" xfId="0" applyNumberFormat="1" applyFont="1" applyBorder="1" applyAlignment="1">
      <alignment readingOrder="1"/>
    </xf>
    <xf numFmtId="169" fontId="0" fillId="0" borderId="0" xfId="0" applyNumberFormat="1" applyFill="1"/>
    <xf numFmtId="9" fontId="0" fillId="0" borderId="0" xfId="0" applyNumberFormat="1" applyFill="1"/>
  </cellXfs>
  <cellStyles count="1">
    <cellStyle name="Normal" xfId="0" builtinId="0"/>
  </cellStyles>
  <dxfs count="13">
    <dxf>
      <fill>
        <patternFill patternType="none">
          <fgColor indexed="64"/>
          <bgColor indexed="65"/>
        </patternFill>
      </fill>
    </dxf>
    <dxf>
      <numFmt numFmtId="169" formatCode="&quot;R$&quot;\ #,##0.00"/>
      <fill>
        <patternFill patternType="none">
          <fgColor indexed="64"/>
          <bgColor indexed="65"/>
        </patternFill>
      </fill>
    </dxf>
    <dxf>
      <numFmt numFmtId="13" formatCode="0%"/>
      <fill>
        <patternFill patternType="none">
          <fgColor indexed="64"/>
          <bgColor indexed="65"/>
        </patternFill>
      </fill>
    </dxf>
    <dxf>
      <numFmt numFmtId="169" formatCode="&quot;R$&quot;\ #,##0.00"/>
      <fill>
        <patternFill patternType="none">
          <fgColor indexed="64"/>
          <bgColor indexed="65"/>
        </patternFill>
      </fill>
    </dxf>
    <dxf>
      <numFmt numFmtId="169" formatCode="&quot;R$&quot;\ 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A8577-718E-47A7-9EB3-1A084B872C2F}" name="Tabela1" displayName="Tabela1" ref="A1:B5" totalsRowShown="0" headerRowDxfId="12" headerRowBorderDxfId="10" tableBorderDxfId="11" totalsRowBorderDxfId="9">
  <autoFilter ref="A1:B5" xr:uid="{1F6A8577-718E-47A7-9EB3-1A084B872C2F}"/>
  <tableColumns count="2">
    <tableColumn id="1" xr3:uid="{47BBCE0B-DDF6-44B9-8829-069DAF573BCF}" name="Descrição" dataDxfId="8"/>
    <tableColumn id="2" xr3:uid="{CB17B707-2AE2-445C-B95E-30A2260C9D35}" name="Sugestão de Valo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63ABAA-0933-49C8-9056-86AC79DF8B9B}" name="Tabela2" displayName="Tabela2" ref="A8:F128" totalsRowShown="0" headerRowDxfId="7" dataDxfId="6">
  <autoFilter ref="A8:F128" xr:uid="{7963ABAA-0933-49C8-9056-86AC79DF8B9B}"/>
  <tableColumns count="6">
    <tableColumn id="1" xr3:uid="{C8BC57A9-C7E3-452E-B6FD-3D12869326C8}" name="Mês" dataDxfId="5"/>
    <tableColumn id="2" xr3:uid="{0C5CF3AC-81B8-4985-B49E-78588783E295}" name="Saldo Inicial" dataDxfId="4">
      <calculatedColumnFormula>E8</calculatedColumnFormula>
    </tableColumn>
    <tableColumn id="3" xr3:uid="{77630A8F-2EA2-4AD2-813A-093A4C2F4985}" name="Aporte do Mês" dataDxfId="3">
      <calculatedColumnFormula>$B$3</calculatedColumnFormula>
    </tableColumn>
    <tableColumn id="4" xr3:uid="{B66EB305-3214-4A7D-A2C2-E5712841B70B}" name="Dividendos Recebidos" dataDxfId="2">
      <calculatedColumnFormula>B9 * $B$4</calculatedColumnFormula>
    </tableColumn>
    <tableColumn id="5" xr3:uid="{6B6F4E43-2F8F-49FF-BF44-5B071E6FAA29}" name="Saldo Final" dataDxfId="1">
      <calculatedColumnFormula>B9 + C9 + D9</calculatedColumnFormula>
    </tableColumn>
    <tableColumn id="6" xr3:uid="{F2DC7ED6-2F31-46EF-A77B-7ECFD97FC18C}" name="Qtd. de Cotas (Acumulado)" dataDxfId="0">
      <calculatedColumnFormula>INT(E9 / $B$5)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D128" sqref="D9:D128"/>
    </sheetView>
  </sheetViews>
  <sheetFormatPr defaultRowHeight="15"/>
  <cols>
    <col min="1" max="1" width="25.28515625" bestFit="1" customWidth="1"/>
    <col min="2" max="2" width="19.28515625" bestFit="1" customWidth="1"/>
    <col min="3" max="3" width="16.42578125" bestFit="1" customWidth="1"/>
    <col min="4" max="4" width="22.7109375" bestFit="1" customWidth="1"/>
    <col min="5" max="5" width="13.28515625" bestFit="1" customWidth="1"/>
    <col min="6" max="6" width="27.140625" bestFit="1" customWidth="1"/>
  </cols>
  <sheetData>
    <row r="1" spans="1:6">
      <c r="A1" s="3" t="s">
        <v>0</v>
      </c>
      <c r="B1" s="4" t="s">
        <v>1</v>
      </c>
    </row>
    <row r="2" spans="1:6">
      <c r="A2" s="1" t="s">
        <v>2</v>
      </c>
      <c r="B2" s="7">
        <v>1000</v>
      </c>
    </row>
    <row r="3" spans="1:6">
      <c r="A3" s="1" t="s">
        <v>3</v>
      </c>
      <c r="B3" s="7">
        <v>500</v>
      </c>
    </row>
    <row r="4" spans="1:6">
      <c r="A4" s="1" t="s">
        <v>4</v>
      </c>
      <c r="B4" s="2">
        <v>8.0000000000000002E-3</v>
      </c>
    </row>
    <row r="5" spans="1:6">
      <c r="A5" s="5" t="s">
        <v>5</v>
      </c>
      <c r="B5" s="8">
        <v>100</v>
      </c>
    </row>
    <row r="8" spans="1:6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</row>
    <row r="9" spans="1:6">
      <c r="A9" s="6">
        <v>1</v>
      </c>
      <c r="B9" s="9">
        <f>B2</f>
        <v>1000</v>
      </c>
      <c r="C9" s="9">
        <f>B3</f>
        <v>500</v>
      </c>
      <c r="D9" s="10">
        <f>B9 * $B$4</f>
        <v>8</v>
      </c>
      <c r="E9" s="9">
        <f>B9 + C9 + D9</f>
        <v>1508</v>
      </c>
      <c r="F9" s="6">
        <f>INT(E9 / $B$5)</f>
        <v>15</v>
      </c>
    </row>
    <row r="10" spans="1:6">
      <c r="A10" s="6">
        <v>2</v>
      </c>
      <c r="B10" s="9">
        <f>E9</f>
        <v>1508</v>
      </c>
      <c r="C10" s="9">
        <f>$B$3</f>
        <v>500</v>
      </c>
      <c r="D10" s="10">
        <f>B10 * $B$4</f>
        <v>12.064</v>
      </c>
      <c r="E10" s="9">
        <f>B10 + C10 + D10</f>
        <v>2020.0640000000001</v>
      </c>
      <c r="F10" s="6">
        <f>INT(E10 / $B$5)</f>
        <v>20</v>
      </c>
    </row>
    <row r="11" spans="1:6">
      <c r="A11" s="6">
        <v>3</v>
      </c>
      <c r="B11" s="9">
        <f t="shared" ref="B11:B74" si="0">E10</f>
        <v>2020.0640000000001</v>
      </c>
      <c r="C11" s="9">
        <f t="shared" ref="C11:C74" si="1">$B$3</f>
        <v>500</v>
      </c>
      <c r="D11" s="10">
        <f t="shared" ref="D11:D74" si="2">B11 * $B$4</f>
        <v>16.160512000000001</v>
      </c>
      <c r="E11" s="9">
        <f t="shared" ref="E11:E74" si="3">B11 + C11 + D11</f>
        <v>2536.2245120000002</v>
      </c>
      <c r="F11" s="6">
        <f t="shared" ref="F11:F74" si="4">INT(E11 / $B$5)</f>
        <v>25</v>
      </c>
    </row>
    <row r="12" spans="1:6">
      <c r="A12" s="6">
        <v>4</v>
      </c>
      <c r="B12" s="9">
        <f t="shared" si="0"/>
        <v>2536.2245120000002</v>
      </c>
      <c r="C12" s="9">
        <f t="shared" si="1"/>
        <v>500</v>
      </c>
      <c r="D12" s="10">
        <f t="shared" si="2"/>
        <v>20.289796096000003</v>
      </c>
      <c r="E12" s="9">
        <f t="shared" si="3"/>
        <v>3056.5143080960001</v>
      </c>
      <c r="F12" s="6">
        <f t="shared" si="4"/>
        <v>30</v>
      </c>
    </row>
    <row r="13" spans="1:6">
      <c r="A13" s="6">
        <v>5</v>
      </c>
      <c r="B13" s="9">
        <f t="shared" si="0"/>
        <v>3056.5143080960001</v>
      </c>
      <c r="C13" s="9">
        <f t="shared" si="1"/>
        <v>500</v>
      </c>
      <c r="D13" s="10">
        <f t="shared" si="2"/>
        <v>24.452114464768002</v>
      </c>
      <c r="E13" s="9">
        <f t="shared" si="3"/>
        <v>3580.966422560768</v>
      </c>
      <c r="F13" s="6">
        <f t="shared" si="4"/>
        <v>35</v>
      </c>
    </row>
    <row r="14" spans="1:6">
      <c r="A14" s="6">
        <v>6</v>
      </c>
      <c r="B14" s="9">
        <f t="shared" si="0"/>
        <v>3580.966422560768</v>
      </c>
      <c r="C14" s="9">
        <f t="shared" si="1"/>
        <v>500</v>
      </c>
      <c r="D14" s="10">
        <f t="shared" si="2"/>
        <v>28.647731380486146</v>
      </c>
      <c r="E14" s="9">
        <f t="shared" si="3"/>
        <v>4109.6141539412538</v>
      </c>
      <c r="F14" s="6">
        <f t="shared" si="4"/>
        <v>41</v>
      </c>
    </row>
    <row r="15" spans="1:6">
      <c r="A15" s="6">
        <v>7</v>
      </c>
      <c r="B15" s="9">
        <f t="shared" si="0"/>
        <v>4109.6141539412538</v>
      </c>
      <c r="C15" s="9">
        <f t="shared" si="1"/>
        <v>500</v>
      </c>
      <c r="D15" s="10">
        <f t="shared" si="2"/>
        <v>32.876913231530033</v>
      </c>
      <c r="E15" s="9">
        <f t="shared" si="3"/>
        <v>4642.4910671727839</v>
      </c>
      <c r="F15" s="6">
        <f t="shared" si="4"/>
        <v>46</v>
      </c>
    </row>
    <row r="16" spans="1:6">
      <c r="A16" s="6">
        <v>8</v>
      </c>
      <c r="B16" s="9">
        <f t="shared" si="0"/>
        <v>4642.4910671727839</v>
      </c>
      <c r="C16" s="9">
        <f t="shared" si="1"/>
        <v>500</v>
      </c>
      <c r="D16" s="10">
        <f t="shared" si="2"/>
        <v>37.139928537382275</v>
      </c>
      <c r="E16" s="9">
        <f t="shared" si="3"/>
        <v>5179.6309957101657</v>
      </c>
      <c r="F16" s="6">
        <f t="shared" si="4"/>
        <v>51</v>
      </c>
    </row>
    <row r="17" spans="1:6">
      <c r="A17" s="6">
        <v>9</v>
      </c>
      <c r="B17" s="9">
        <f t="shared" si="0"/>
        <v>5179.6309957101657</v>
      </c>
      <c r="C17" s="9">
        <f t="shared" si="1"/>
        <v>500</v>
      </c>
      <c r="D17" s="10">
        <f t="shared" si="2"/>
        <v>41.43704796568133</v>
      </c>
      <c r="E17" s="9">
        <f t="shared" si="3"/>
        <v>5721.0680436758466</v>
      </c>
      <c r="F17" s="6">
        <f t="shared" si="4"/>
        <v>57</v>
      </c>
    </row>
    <row r="18" spans="1:6">
      <c r="A18" s="6">
        <v>10</v>
      </c>
      <c r="B18" s="9">
        <f t="shared" si="0"/>
        <v>5721.0680436758466</v>
      </c>
      <c r="C18" s="9">
        <f t="shared" si="1"/>
        <v>500</v>
      </c>
      <c r="D18" s="10">
        <f t="shared" si="2"/>
        <v>45.768544349406774</v>
      </c>
      <c r="E18" s="9">
        <f t="shared" si="3"/>
        <v>6266.8365880252531</v>
      </c>
      <c r="F18" s="6">
        <f t="shared" si="4"/>
        <v>62</v>
      </c>
    </row>
    <row r="19" spans="1:6">
      <c r="A19" s="6">
        <v>11</v>
      </c>
      <c r="B19" s="9">
        <f t="shared" si="0"/>
        <v>6266.8365880252531</v>
      </c>
      <c r="C19" s="9">
        <f t="shared" si="1"/>
        <v>500</v>
      </c>
      <c r="D19" s="10">
        <f t="shared" si="2"/>
        <v>50.134692704202024</v>
      </c>
      <c r="E19" s="9">
        <f t="shared" si="3"/>
        <v>6816.9712807294554</v>
      </c>
      <c r="F19" s="6">
        <f t="shared" si="4"/>
        <v>68</v>
      </c>
    </row>
    <row r="20" spans="1:6">
      <c r="A20" s="6">
        <v>12</v>
      </c>
      <c r="B20" s="9">
        <f t="shared" si="0"/>
        <v>6816.9712807294554</v>
      </c>
      <c r="C20" s="9">
        <f t="shared" si="1"/>
        <v>500</v>
      </c>
      <c r="D20" s="10">
        <f t="shared" si="2"/>
        <v>54.535770245835643</v>
      </c>
      <c r="E20" s="9">
        <f t="shared" si="3"/>
        <v>7371.5070509752913</v>
      </c>
      <c r="F20" s="6">
        <f t="shared" si="4"/>
        <v>73</v>
      </c>
    </row>
    <row r="21" spans="1:6">
      <c r="A21" s="6">
        <v>13</v>
      </c>
      <c r="B21" s="9">
        <f t="shared" si="0"/>
        <v>7371.5070509752913</v>
      </c>
      <c r="C21" s="9">
        <f t="shared" si="1"/>
        <v>500</v>
      </c>
      <c r="D21" s="10">
        <f t="shared" si="2"/>
        <v>58.972056407802334</v>
      </c>
      <c r="E21" s="9">
        <f t="shared" si="3"/>
        <v>7930.4791073830938</v>
      </c>
      <c r="F21" s="6">
        <f t="shared" si="4"/>
        <v>79</v>
      </c>
    </row>
    <row r="22" spans="1:6">
      <c r="A22" s="6">
        <v>14</v>
      </c>
      <c r="B22" s="9">
        <f t="shared" si="0"/>
        <v>7930.4791073830938</v>
      </c>
      <c r="C22" s="9">
        <f t="shared" si="1"/>
        <v>500</v>
      </c>
      <c r="D22" s="10">
        <f t="shared" si="2"/>
        <v>63.443832859064749</v>
      </c>
      <c r="E22" s="9">
        <f t="shared" si="3"/>
        <v>8493.922940242157</v>
      </c>
      <c r="F22" s="6">
        <f t="shared" si="4"/>
        <v>84</v>
      </c>
    </row>
    <row r="23" spans="1:6">
      <c r="A23" s="6">
        <v>15</v>
      </c>
      <c r="B23" s="9">
        <f t="shared" si="0"/>
        <v>8493.922940242157</v>
      </c>
      <c r="C23" s="9">
        <f t="shared" si="1"/>
        <v>500</v>
      </c>
      <c r="D23" s="10">
        <f t="shared" si="2"/>
        <v>67.95138352193726</v>
      </c>
      <c r="E23" s="9">
        <f t="shared" si="3"/>
        <v>9061.8743237640938</v>
      </c>
      <c r="F23" s="6">
        <f t="shared" si="4"/>
        <v>90</v>
      </c>
    </row>
    <row r="24" spans="1:6">
      <c r="A24" s="6">
        <v>16</v>
      </c>
      <c r="B24" s="9">
        <f t="shared" si="0"/>
        <v>9061.8743237640938</v>
      </c>
      <c r="C24" s="9">
        <f t="shared" si="1"/>
        <v>500</v>
      </c>
      <c r="D24" s="10">
        <f t="shared" si="2"/>
        <v>72.494994590112753</v>
      </c>
      <c r="E24" s="9">
        <f t="shared" si="3"/>
        <v>9634.3693183542073</v>
      </c>
      <c r="F24" s="6">
        <f t="shared" si="4"/>
        <v>96</v>
      </c>
    </row>
    <row r="25" spans="1:6">
      <c r="A25" s="6">
        <v>17</v>
      </c>
      <c r="B25" s="9">
        <f t="shared" si="0"/>
        <v>9634.3693183542073</v>
      </c>
      <c r="C25" s="9">
        <f t="shared" si="1"/>
        <v>500</v>
      </c>
      <c r="D25" s="10">
        <f t="shared" si="2"/>
        <v>77.074954546833666</v>
      </c>
      <c r="E25" s="9">
        <f t="shared" si="3"/>
        <v>10211.444272901041</v>
      </c>
      <c r="F25" s="6">
        <f t="shared" si="4"/>
        <v>102</v>
      </c>
    </row>
    <row r="26" spans="1:6">
      <c r="A26" s="6">
        <v>18</v>
      </c>
      <c r="B26" s="9">
        <f t="shared" si="0"/>
        <v>10211.444272901041</v>
      </c>
      <c r="C26" s="9">
        <f t="shared" si="1"/>
        <v>500</v>
      </c>
      <c r="D26" s="10">
        <f t="shared" si="2"/>
        <v>81.691554183208325</v>
      </c>
      <c r="E26" s="9">
        <f t="shared" si="3"/>
        <v>10793.135827084248</v>
      </c>
      <c r="F26" s="6">
        <f t="shared" si="4"/>
        <v>107</v>
      </c>
    </row>
    <row r="27" spans="1:6">
      <c r="A27" s="6">
        <v>19</v>
      </c>
      <c r="B27" s="9">
        <f t="shared" si="0"/>
        <v>10793.135827084248</v>
      </c>
      <c r="C27" s="9">
        <f t="shared" si="1"/>
        <v>500</v>
      </c>
      <c r="D27" s="10">
        <f t="shared" si="2"/>
        <v>86.345086616673996</v>
      </c>
      <c r="E27" s="9">
        <f t="shared" si="3"/>
        <v>11379.480913700922</v>
      </c>
      <c r="F27" s="6">
        <f t="shared" si="4"/>
        <v>113</v>
      </c>
    </row>
    <row r="28" spans="1:6">
      <c r="A28" s="6">
        <v>20</v>
      </c>
      <c r="B28" s="9">
        <f t="shared" si="0"/>
        <v>11379.480913700922</v>
      </c>
      <c r="C28" s="9">
        <f t="shared" si="1"/>
        <v>500</v>
      </c>
      <c r="D28" s="10">
        <f t="shared" si="2"/>
        <v>91.035847309607377</v>
      </c>
      <c r="E28" s="9">
        <f t="shared" si="3"/>
        <v>11970.516761010529</v>
      </c>
      <c r="F28" s="6">
        <f t="shared" si="4"/>
        <v>119</v>
      </c>
    </row>
    <row r="29" spans="1:6">
      <c r="A29" s="6">
        <v>21</v>
      </c>
      <c r="B29" s="9">
        <f t="shared" si="0"/>
        <v>11970.516761010529</v>
      </c>
      <c r="C29" s="9">
        <f t="shared" si="1"/>
        <v>500</v>
      </c>
      <c r="D29" s="10">
        <f t="shared" si="2"/>
        <v>95.764134088084234</v>
      </c>
      <c r="E29" s="9">
        <f t="shared" si="3"/>
        <v>12566.280895098613</v>
      </c>
      <c r="F29" s="6">
        <f t="shared" si="4"/>
        <v>125</v>
      </c>
    </row>
    <row r="30" spans="1:6">
      <c r="A30" s="6">
        <v>22</v>
      </c>
      <c r="B30" s="9">
        <f t="shared" si="0"/>
        <v>12566.280895098613</v>
      </c>
      <c r="C30" s="9">
        <f t="shared" si="1"/>
        <v>500</v>
      </c>
      <c r="D30" s="10">
        <f t="shared" si="2"/>
        <v>100.5302471607889</v>
      </c>
      <c r="E30" s="9">
        <f t="shared" si="3"/>
        <v>13166.811142259401</v>
      </c>
      <c r="F30" s="6">
        <f t="shared" si="4"/>
        <v>131</v>
      </c>
    </row>
    <row r="31" spans="1:6">
      <c r="A31" s="6">
        <v>23</v>
      </c>
      <c r="B31" s="9">
        <f t="shared" si="0"/>
        <v>13166.811142259401</v>
      </c>
      <c r="C31" s="9">
        <f t="shared" si="1"/>
        <v>500</v>
      </c>
      <c r="D31" s="10">
        <f t="shared" si="2"/>
        <v>105.33448913807521</v>
      </c>
      <c r="E31" s="9">
        <f t="shared" si="3"/>
        <v>13772.145631397476</v>
      </c>
      <c r="F31" s="6">
        <f t="shared" si="4"/>
        <v>137</v>
      </c>
    </row>
    <row r="32" spans="1:6">
      <c r="A32" s="6">
        <v>24</v>
      </c>
      <c r="B32" s="9">
        <f t="shared" si="0"/>
        <v>13772.145631397476</v>
      </c>
      <c r="C32" s="9">
        <f t="shared" si="1"/>
        <v>500</v>
      </c>
      <c r="D32" s="10">
        <f t="shared" si="2"/>
        <v>110.17716505117981</v>
      </c>
      <c r="E32" s="9">
        <f t="shared" si="3"/>
        <v>14382.322796448656</v>
      </c>
      <c r="F32" s="6">
        <f t="shared" si="4"/>
        <v>143</v>
      </c>
    </row>
    <row r="33" spans="1:6">
      <c r="A33" s="6">
        <v>25</v>
      </c>
      <c r="B33" s="9">
        <f t="shared" si="0"/>
        <v>14382.322796448656</v>
      </c>
      <c r="C33" s="9">
        <f t="shared" si="1"/>
        <v>500</v>
      </c>
      <c r="D33" s="10">
        <f t="shared" si="2"/>
        <v>115.05858237158925</v>
      </c>
      <c r="E33" s="9">
        <f t="shared" si="3"/>
        <v>14997.381378820246</v>
      </c>
      <c r="F33" s="6">
        <f t="shared" si="4"/>
        <v>149</v>
      </c>
    </row>
    <row r="34" spans="1:6">
      <c r="A34" s="6">
        <v>26</v>
      </c>
      <c r="B34" s="9">
        <f t="shared" si="0"/>
        <v>14997.381378820246</v>
      </c>
      <c r="C34" s="9">
        <f t="shared" si="1"/>
        <v>500</v>
      </c>
      <c r="D34" s="10">
        <f t="shared" si="2"/>
        <v>119.97905103056198</v>
      </c>
      <c r="E34" s="9">
        <f t="shared" si="3"/>
        <v>15617.360429850807</v>
      </c>
      <c r="F34" s="6">
        <f t="shared" si="4"/>
        <v>156</v>
      </c>
    </row>
    <row r="35" spans="1:6">
      <c r="A35" s="6">
        <v>27</v>
      </c>
      <c r="B35" s="9">
        <f t="shared" si="0"/>
        <v>15617.360429850807</v>
      </c>
      <c r="C35" s="9">
        <f t="shared" si="1"/>
        <v>500</v>
      </c>
      <c r="D35" s="10">
        <f t="shared" si="2"/>
        <v>124.93888343880646</v>
      </c>
      <c r="E35" s="9">
        <f t="shared" si="3"/>
        <v>16242.299313289614</v>
      </c>
      <c r="F35" s="6">
        <f t="shared" si="4"/>
        <v>162</v>
      </c>
    </row>
    <row r="36" spans="1:6">
      <c r="A36" s="6">
        <v>28</v>
      </c>
      <c r="B36" s="9">
        <f t="shared" si="0"/>
        <v>16242.299313289614</v>
      </c>
      <c r="C36" s="9">
        <f t="shared" si="1"/>
        <v>500</v>
      </c>
      <c r="D36" s="10">
        <f t="shared" si="2"/>
        <v>129.93839450631691</v>
      </c>
      <c r="E36" s="9">
        <f t="shared" si="3"/>
        <v>16872.237707795932</v>
      </c>
      <c r="F36" s="6">
        <f t="shared" si="4"/>
        <v>168</v>
      </c>
    </row>
    <row r="37" spans="1:6">
      <c r="A37" s="6">
        <v>29</v>
      </c>
      <c r="B37" s="9">
        <f t="shared" si="0"/>
        <v>16872.237707795932</v>
      </c>
      <c r="C37" s="9">
        <f t="shared" si="1"/>
        <v>500</v>
      </c>
      <c r="D37" s="10">
        <f t="shared" si="2"/>
        <v>134.97790166236746</v>
      </c>
      <c r="E37" s="9">
        <f t="shared" si="3"/>
        <v>17507.215609458301</v>
      </c>
      <c r="F37" s="6">
        <f t="shared" si="4"/>
        <v>175</v>
      </c>
    </row>
    <row r="38" spans="1:6">
      <c r="A38" s="6">
        <v>30</v>
      </c>
      <c r="B38" s="9">
        <f t="shared" si="0"/>
        <v>17507.215609458301</v>
      </c>
      <c r="C38" s="9">
        <f t="shared" si="1"/>
        <v>500</v>
      </c>
      <c r="D38" s="10">
        <f t="shared" si="2"/>
        <v>140.05772487566639</v>
      </c>
      <c r="E38" s="9">
        <f t="shared" si="3"/>
        <v>18147.273334333968</v>
      </c>
      <c r="F38" s="6">
        <f t="shared" si="4"/>
        <v>181</v>
      </c>
    </row>
    <row r="39" spans="1:6">
      <c r="A39" s="6">
        <v>31</v>
      </c>
      <c r="B39" s="9">
        <f t="shared" si="0"/>
        <v>18147.273334333968</v>
      </c>
      <c r="C39" s="9">
        <f t="shared" si="1"/>
        <v>500</v>
      </c>
      <c r="D39" s="10">
        <f t="shared" si="2"/>
        <v>145.17818667467174</v>
      </c>
      <c r="E39" s="9">
        <f t="shared" si="3"/>
        <v>18792.451521008639</v>
      </c>
      <c r="F39" s="6">
        <f t="shared" si="4"/>
        <v>187</v>
      </c>
    </row>
    <row r="40" spans="1:6">
      <c r="A40" s="6">
        <v>32</v>
      </c>
      <c r="B40" s="9">
        <f t="shared" si="0"/>
        <v>18792.451521008639</v>
      </c>
      <c r="C40" s="9">
        <f t="shared" si="1"/>
        <v>500</v>
      </c>
      <c r="D40" s="10">
        <f t="shared" si="2"/>
        <v>150.33961216806912</v>
      </c>
      <c r="E40" s="9">
        <f t="shared" si="3"/>
        <v>19442.79113317671</v>
      </c>
      <c r="F40" s="6">
        <f t="shared" si="4"/>
        <v>194</v>
      </c>
    </row>
    <row r="41" spans="1:6">
      <c r="A41" s="6">
        <v>33</v>
      </c>
      <c r="B41" s="9">
        <f t="shared" si="0"/>
        <v>19442.79113317671</v>
      </c>
      <c r="C41" s="9">
        <f t="shared" si="1"/>
        <v>500</v>
      </c>
      <c r="D41" s="10">
        <f t="shared" si="2"/>
        <v>155.5423290654137</v>
      </c>
      <c r="E41" s="9">
        <f t="shared" si="3"/>
        <v>20098.333462242124</v>
      </c>
      <c r="F41" s="6">
        <f t="shared" si="4"/>
        <v>200</v>
      </c>
    </row>
    <row r="42" spans="1:6">
      <c r="A42" s="6">
        <v>34</v>
      </c>
      <c r="B42" s="9">
        <f t="shared" si="0"/>
        <v>20098.333462242124</v>
      </c>
      <c r="C42" s="9">
        <f t="shared" si="1"/>
        <v>500</v>
      </c>
      <c r="D42" s="10">
        <f t="shared" si="2"/>
        <v>160.78666769793699</v>
      </c>
      <c r="E42" s="9">
        <f t="shared" si="3"/>
        <v>20759.12012994006</v>
      </c>
      <c r="F42" s="6">
        <f t="shared" si="4"/>
        <v>207</v>
      </c>
    </row>
    <row r="43" spans="1:6">
      <c r="A43" s="6">
        <v>35</v>
      </c>
      <c r="B43" s="9">
        <f t="shared" si="0"/>
        <v>20759.12012994006</v>
      </c>
      <c r="C43" s="9">
        <f t="shared" si="1"/>
        <v>500</v>
      </c>
      <c r="D43" s="10">
        <f t="shared" si="2"/>
        <v>166.07296103952049</v>
      </c>
      <c r="E43" s="9">
        <f t="shared" si="3"/>
        <v>21425.193090979581</v>
      </c>
      <c r="F43" s="6">
        <f t="shared" si="4"/>
        <v>214</v>
      </c>
    </row>
    <row r="44" spans="1:6">
      <c r="A44" s="6">
        <v>36</v>
      </c>
      <c r="B44" s="9">
        <f t="shared" si="0"/>
        <v>21425.193090979581</v>
      </c>
      <c r="C44" s="9">
        <f t="shared" si="1"/>
        <v>500</v>
      </c>
      <c r="D44" s="10">
        <f t="shared" si="2"/>
        <v>171.40154472783667</v>
      </c>
      <c r="E44" s="9">
        <f t="shared" si="3"/>
        <v>22096.594635707417</v>
      </c>
      <c r="F44" s="6">
        <f t="shared" si="4"/>
        <v>220</v>
      </c>
    </row>
    <row r="45" spans="1:6">
      <c r="A45" s="6">
        <v>37</v>
      </c>
      <c r="B45" s="9">
        <f t="shared" si="0"/>
        <v>22096.594635707417</v>
      </c>
      <c r="C45" s="9">
        <f t="shared" si="1"/>
        <v>500</v>
      </c>
      <c r="D45" s="10">
        <f t="shared" si="2"/>
        <v>176.77275708565935</v>
      </c>
      <c r="E45" s="9">
        <f t="shared" si="3"/>
        <v>22773.367392793076</v>
      </c>
      <c r="F45" s="6">
        <f t="shared" si="4"/>
        <v>227</v>
      </c>
    </row>
    <row r="46" spans="1:6">
      <c r="A46" s="6">
        <v>38</v>
      </c>
      <c r="B46" s="9">
        <f t="shared" si="0"/>
        <v>22773.367392793076</v>
      </c>
      <c r="C46" s="9">
        <f t="shared" si="1"/>
        <v>500</v>
      </c>
      <c r="D46" s="10">
        <f t="shared" si="2"/>
        <v>182.18693914234461</v>
      </c>
      <c r="E46" s="9">
        <f t="shared" si="3"/>
        <v>23455.554331935422</v>
      </c>
      <c r="F46" s="6">
        <f t="shared" si="4"/>
        <v>234</v>
      </c>
    </row>
    <row r="47" spans="1:6">
      <c r="A47" s="6">
        <v>39</v>
      </c>
      <c r="B47" s="9">
        <f t="shared" si="0"/>
        <v>23455.554331935422</v>
      </c>
      <c r="C47" s="9">
        <f t="shared" si="1"/>
        <v>500</v>
      </c>
      <c r="D47" s="10">
        <f t="shared" si="2"/>
        <v>187.64443465548337</v>
      </c>
      <c r="E47" s="9">
        <f t="shared" si="3"/>
        <v>24143.198766590904</v>
      </c>
      <c r="F47" s="6">
        <f t="shared" si="4"/>
        <v>241</v>
      </c>
    </row>
    <row r="48" spans="1:6">
      <c r="A48" s="6">
        <v>40</v>
      </c>
      <c r="B48" s="9">
        <f t="shared" si="0"/>
        <v>24143.198766590904</v>
      </c>
      <c r="C48" s="9">
        <f t="shared" si="1"/>
        <v>500</v>
      </c>
      <c r="D48" s="10">
        <f t="shared" si="2"/>
        <v>193.14559013272722</v>
      </c>
      <c r="E48" s="9">
        <f t="shared" si="3"/>
        <v>24836.344356723632</v>
      </c>
      <c r="F48" s="6">
        <f t="shared" si="4"/>
        <v>248</v>
      </c>
    </row>
    <row r="49" spans="1:6">
      <c r="A49" s="6">
        <v>41</v>
      </c>
      <c r="B49" s="9">
        <f t="shared" si="0"/>
        <v>24836.344356723632</v>
      </c>
      <c r="C49" s="9">
        <f t="shared" si="1"/>
        <v>500</v>
      </c>
      <c r="D49" s="10">
        <f t="shared" si="2"/>
        <v>198.69075485378906</v>
      </c>
      <c r="E49" s="9">
        <f t="shared" si="3"/>
        <v>25535.035111577421</v>
      </c>
      <c r="F49" s="6">
        <f t="shared" si="4"/>
        <v>255</v>
      </c>
    </row>
    <row r="50" spans="1:6">
      <c r="A50" s="6">
        <v>42</v>
      </c>
      <c r="B50" s="9">
        <f t="shared" si="0"/>
        <v>25535.035111577421</v>
      </c>
      <c r="C50" s="9">
        <f t="shared" si="1"/>
        <v>500</v>
      </c>
      <c r="D50" s="10">
        <f t="shared" si="2"/>
        <v>204.28028089261937</v>
      </c>
      <c r="E50" s="9">
        <f t="shared" si="3"/>
        <v>26239.315392470042</v>
      </c>
      <c r="F50" s="6">
        <f t="shared" si="4"/>
        <v>262</v>
      </c>
    </row>
    <row r="51" spans="1:6">
      <c r="A51" s="6">
        <v>43</v>
      </c>
      <c r="B51" s="9">
        <f t="shared" si="0"/>
        <v>26239.315392470042</v>
      </c>
      <c r="C51" s="9">
        <f t="shared" si="1"/>
        <v>500</v>
      </c>
      <c r="D51" s="10">
        <f t="shared" si="2"/>
        <v>209.91452313976035</v>
      </c>
      <c r="E51" s="9">
        <f t="shared" si="3"/>
        <v>26949.229915609802</v>
      </c>
      <c r="F51" s="6">
        <f t="shared" si="4"/>
        <v>269</v>
      </c>
    </row>
    <row r="52" spans="1:6">
      <c r="A52" s="6">
        <v>44</v>
      </c>
      <c r="B52" s="9">
        <f t="shared" si="0"/>
        <v>26949.229915609802</v>
      </c>
      <c r="C52" s="9">
        <f t="shared" si="1"/>
        <v>500</v>
      </c>
      <c r="D52" s="10">
        <f t="shared" si="2"/>
        <v>215.59383932487842</v>
      </c>
      <c r="E52" s="9">
        <f t="shared" si="3"/>
        <v>27664.823754934681</v>
      </c>
      <c r="F52" s="6">
        <f t="shared" si="4"/>
        <v>276</v>
      </c>
    </row>
    <row r="53" spans="1:6">
      <c r="A53" s="6">
        <v>45</v>
      </c>
      <c r="B53" s="9">
        <f t="shared" si="0"/>
        <v>27664.823754934681</v>
      </c>
      <c r="C53" s="9">
        <f t="shared" si="1"/>
        <v>500</v>
      </c>
      <c r="D53" s="10">
        <f t="shared" si="2"/>
        <v>221.31859003947744</v>
      </c>
      <c r="E53" s="9">
        <f t="shared" si="3"/>
        <v>28386.14234497416</v>
      </c>
      <c r="F53" s="6">
        <f t="shared" si="4"/>
        <v>283</v>
      </c>
    </row>
    <row r="54" spans="1:6">
      <c r="A54" s="6">
        <v>46</v>
      </c>
      <c r="B54" s="9">
        <f t="shared" si="0"/>
        <v>28386.14234497416</v>
      </c>
      <c r="C54" s="9">
        <f t="shared" si="1"/>
        <v>500</v>
      </c>
      <c r="D54" s="10">
        <f t="shared" si="2"/>
        <v>227.08913875979329</v>
      </c>
      <c r="E54" s="9">
        <f t="shared" si="3"/>
        <v>29113.231483733955</v>
      </c>
      <c r="F54" s="6">
        <f t="shared" si="4"/>
        <v>291</v>
      </c>
    </row>
    <row r="55" spans="1:6">
      <c r="A55" s="6">
        <v>47</v>
      </c>
      <c r="B55" s="9">
        <f t="shared" si="0"/>
        <v>29113.231483733955</v>
      </c>
      <c r="C55" s="9">
        <f t="shared" si="1"/>
        <v>500</v>
      </c>
      <c r="D55" s="10">
        <f t="shared" si="2"/>
        <v>232.90585186987164</v>
      </c>
      <c r="E55" s="9">
        <f t="shared" si="3"/>
        <v>29846.137335603828</v>
      </c>
      <c r="F55" s="6">
        <f t="shared" si="4"/>
        <v>298</v>
      </c>
    </row>
    <row r="56" spans="1:6">
      <c r="A56" s="6">
        <v>48</v>
      </c>
      <c r="B56" s="9">
        <f t="shared" si="0"/>
        <v>29846.137335603828</v>
      </c>
      <c r="C56" s="9">
        <f t="shared" si="1"/>
        <v>500</v>
      </c>
      <c r="D56" s="10">
        <f t="shared" si="2"/>
        <v>238.76909868483062</v>
      </c>
      <c r="E56" s="9">
        <f t="shared" si="3"/>
        <v>30584.90643428866</v>
      </c>
      <c r="F56" s="6">
        <f t="shared" si="4"/>
        <v>305</v>
      </c>
    </row>
    <row r="57" spans="1:6">
      <c r="A57" s="6">
        <v>49</v>
      </c>
      <c r="B57" s="9">
        <f t="shared" si="0"/>
        <v>30584.90643428866</v>
      </c>
      <c r="C57" s="9">
        <f t="shared" si="1"/>
        <v>500</v>
      </c>
      <c r="D57" s="10">
        <f t="shared" si="2"/>
        <v>244.67925147430927</v>
      </c>
      <c r="E57" s="9">
        <f t="shared" si="3"/>
        <v>31329.58568576297</v>
      </c>
      <c r="F57" s="6">
        <f t="shared" si="4"/>
        <v>313</v>
      </c>
    </row>
    <row r="58" spans="1:6">
      <c r="A58" s="6">
        <v>50</v>
      </c>
      <c r="B58" s="9">
        <f t="shared" si="0"/>
        <v>31329.58568576297</v>
      </c>
      <c r="C58" s="9">
        <f t="shared" si="1"/>
        <v>500</v>
      </c>
      <c r="D58" s="10">
        <f t="shared" si="2"/>
        <v>250.63668548610377</v>
      </c>
      <c r="E58" s="9">
        <f t="shared" si="3"/>
        <v>32080.222371249074</v>
      </c>
      <c r="F58" s="6">
        <f t="shared" si="4"/>
        <v>320</v>
      </c>
    </row>
    <row r="59" spans="1:6">
      <c r="A59" s="6">
        <v>51</v>
      </c>
      <c r="B59" s="9">
        <f t="shared" si="0"/>
        <v>32080.222371249074</v>
      </c>
      <c r="C59" s="9">
        <f t="shared" si="1"/>
        <v>500</v>
      </c>
      <c r="D59" s="10">
        <f t="shared" si="2"/>
        <v>256.64177896999257</v>
      </c>
      <c r="E59" s="9">
        <f t="shared" si="3"/>
        <v>32836.864150219066</v>
      </c>
      <c r="F59" s="6">
        <f t="shared" si="4"/>
        <v>328</v>
      </c>
    </row>
    <row r="60" spans="1:6">
      <c r="A60" s="6">
        <v>52</v>
      </c>
      <c r="B60" s="9">
        <f t="shared" si="0"/>
        <v>32836.864150219066</v>
      </c>
      <c r="C60" s="9">
        <f t="shared" si="1"/>
        <v>500</v>
      </c>
      <c r="D60" s="10">
        <f t="shared" si="2"/>
        <v>262.69491320175251</v>
      </c>
      <c r="E60" s="9">
        <f t="shared" si="3"/>
        <v>33599.55906342082</v>
      </c>
      <c r="F60" s="6">
        <f t="shared" si="4"/>
        <v>335</v>
      </c>
    </row>
    <row r="61" spans="1:6">
      <c r="A61" s="6">
        <v>53</v>
      </c>
      <c r="B61" s="9">
        <f t="shared" si="0"/>
        <v>33599.55906342082</v>
      </c>
      <c r="C61" s="9">
        <f t="shared" si="1"/>
        <v>500</v>
      </c>
      <c r="D61" s="10">
        <f t="shared" si="2"/>
        <v>268.79647250736656</v>
      </c>
      <c r="E61" s="9">
        <f t="shared" si="3"/>
        <v>34368.355535928189</v>
      </c>
      <c r="F61" s="6">
        <f t="shared" si="4"/>
        <v>343</v>
      </c>
    </row>
    <row r="62" spans="1:6">
      <c r="A62" s="6">
        <v>54</v>
      </c>
      <c r="B62" s="9">
        <f t="shared" si="0"/>
        <v>34368.355535928189</v>
      </c>
      <c r="C62" s="9">
        <f t="shared" si="1"/>
        <v>500</v>
      </c>
      <c r="D62" s="10">
        <f t="shared" si="2"/>
        <v>274.94684428742551</v>
      </c>
      <c r="E62" s="9">
        <f t="shared" si="3"/>
        <v>35143.302380215617</v>
      </c>
      <c r="F62" s="6">
        <f t="shared" si="4"/>
        <v>351</v>
      </c>
    </row>
    <row r="63" spans="1:6">
      <c r="A63" s="6">
        <v>55</v>
      </c>
      <c r="B63" s="9">
        <f t="shared" si="0"/>
        <v>35143.302380215617</v>
      </c>
      <c r="C63" s="9">
        <f t="shared" si="1"/>
        <v>500</v>
      </c>
      <c r="D63" s="10">
        <f t="shared" si="2"/>
        <v>281.14641904172493</v>
      </c>
      <c r="E63" s="9">
        <f t="shared" si="3"/>
        <v>35924.448799257341</v>
      </c>
      <c r="F63" s="6">
        <f t="shared" si="4"/>
        <v>359</v>
      </c>
    </row>
    <row r="64" spans="1:6">
      <c r="A64" s="6">
        <v>56</v>
      </c>
      <c r="B64" s="9">
        <f t="shared" si="0"/>
        <v>35924.448799257341</v>
      </c>
      <c r="C64" s="9">
        <f t="shared" si="1"/>
        <v>500</v>
      </c>
      <c r="D64" s="10">
        <f t="shared" si="2"/>
        <v>287.39559039405873</v>
      </c>
      <c r="E64" s="9">
        <f t="shared" si="3"/>
        <v>36711.8443896514</v>
      </c>
      <c r="F64" s="6">
        <f t="shared" si="4"/>
        <v>367</v>
      </c>
    </row>
    <row r="65" spans="1:6">
      <c r="A65" s="6">
        <v>57</v>
      </c>
      <c r="B65" s="9">
        <f t="shared" si="0"/>
        <v>36711.8443896514</v>
      </c>
      <c r="C65" s="9">
        <f t="shared" si="1"/>
        <v>500</v>
      </c>
      <c r="D65" s="10">
        <f t="shared" si="2"/>
        <v>293.69475511721123</v>
      </c>
      <c r="E65" s="9">
        <f t="shared" si="3"/>
        <v>37505.539144768612</v>
      </c>
      <c r="F65" s="6">
        <f t="shared" si="4"/>
        <v>375</v>
      </c>
    </row>
    <row r="66" spans="1:6">
      <c r="A66" s="6">
        <v>58</v>
      </c>
      <c r="B66" s="9">
        <f t="shared" si="0"/>
        <v>37505.539144768612</v>
      </c>
      <c r="C66" s="9">
        <f t="shared" si="1"/>
        <v>500</v>
      </c>
      <c r="D66" s="10">
        <f t="shared" si="2"/>
        <v>300.0443131581489</v>
      </c>
      <c r="E66" s="9">
        <f t="shared" si="3"/>
        <v>38305.583457926761</v>
      </c>
      <c r="F66" s="6">
        <f t="shared" si="4"/>
        <v>383</v>
      </c>
    </row>
    <row r="67" spans="1:6">
      <c r="A67" s="6">
        <v>59</v>
      </c>
      <c r="B67" s="9">
        <f t="shared" si="0"/>
        <v>38305.583457926761</v>
      </c>
      <c r="C67" s="9">
        <f t="shared" si="1"/>
        <v>500</v>
      </c>
      <c r="D67" s="10">
        <f t="shared" si="2"/>
        <v>306.44466766341412</v>
      </c>
      <c r="E67" s="9">
        <f t="shared" si="3"/>
        <v>39112.028125590172</v>
      </c>
      <c r="F67" s="6">
        <f t="shared" si="4"/>
        <v>391</v>
      </c>
    </row>
    <row r="68" spans="1:6">
      <c r="A68" s="6">
        <v>60</v>
      </c>
      <c r="B68" s="9">
        <f t="shared" si="0"/>
        <v>39112.028125590172</v>
      </c>
      <c r="C68" s="9">
        <f t="shared" si="1"/>
        <v>500</v>
      </c>
      <c r="D68" s="10">
        <f t="shared" si="2"/>
        <v>312.89622500472137</v>
      </c>
      <c r="E68" s="9">
        <f t="shared" si="3"/>
        <v>39924.924350594891</v>
      </c>
      <c r="F68" s="6">
        <f t="shared" si="4"/>
        <v>399</v>
      </c>
    </row>
    <row r="69" spans="1:6">
      <c r="A69" s="6">
        <v>61</v>
      </c>
      <c r="B69" s="9">
        <f t="shared" si="0"/>
        <v>39924.924350594891</v>
      </c>
      <c r="C69" s="9">
        <f t="shared" si="1"/>
        <v>500</v>
      </c>
      <c r="D69" s="10">
        <f t="shared" si="2"/>
        <v>319.39939480475914</v>
      </c>
      <c r="E69" s="9">
        <f t="shared" si="3"/>
        <v>40744.323745399648</v>
      </c>
      <c r="F69" s="6">
        <f t="shared" si="4"/>
        <v>407</v>
      </c>
    </row>
    <row r="70" spans="1:6">
      <c r="A70" s="6">
        <v>62</v>
      </c>
      <c r="B70" s="9">
        <f t="shared" si="0"/>
        <v>40744.323745399648</v>
      </c>
      <c r="C70" s="9">
        <f t="shared" si="1"/>
        <v>500</v>
      </c>
      <c r="D70" s="10">
        <f t="shared" si="2"/>
        <v>325.95458996319718</v>
      </c>
      <c r="E70" s="9">
        <f t="shared" si="3"/>
        <v>41570.278335362847</v>
      </c>
      <c r="F70" s="6">
        <f t="shared" si="4"/>
        <v>415</v>
      </c>
    </row>
    <row r="71" spans="1:6">
      <c r="A71" s="6">
        <v>63</v>
      </c>
      <c r="B71" s="9">
        <f t="shared" si="0"/>
        <v>41570.278335362847</v>
      </c>
      <c r="C71" s="9">
        <f t="shared" si="1"/>
        <v>500</v>
      </c>
      <c r="D71" s="10">
        <f t="shared" si="2"/>
        <v>332.5622266829028</v>
      </c>
      <c r="E71" s="9">
        <f t="shared" si="3"/>
        <v>42402.840562045749</v>
      </c>
      <c r="F71" s="6">
        <f t="shared" si="4"/>
        <v>424</v>
      </c>
    </row>
    <row r="72" spans="1:6">
      <c r="A72" s="6">
        <v>64</v>
      </c>
      <c r="B72" s="9">
        <f t="shared" si="0"/>
        <v>42402.840562045749</v>
      </c>
      <c r="C72" s="9">
        <f t="shared" si="1"/>
        <v>500</v>
      </c>
      <c r="D72" s="10">
        <f t="shared" si="2"/>
        <v>339.22272449636597</v>
      </c>
      <c r="E72" s="9">
        <f t="shared" si="3"/>
        <v>43242.063286542114</v>
      </c>
      <c r="F72" s="6">
        <f t="shared" si="4"/>
        <v>432</v>
      </c>
    </row>
    <row r="73" spans="1:6">
      <c r="A73" s="6">
        <v>65</v>
      </c>
      <c r="B73" s="9">
        <f t="shared" si="0"/>
        <v>43242.063286542114</v>
      </c>
      <c r="C73" s="9">
        <f t="shared" si="1"/>
        <v>500</v>
      </c>
      <c r="D73" s="10">
        <f t="shared" si="2"/>
        <v>345.9365062923369</v>
      </c>
      <c r="E73" s="9">
        <f t="shared" si="3"/>
        <v>44087.999792834453</v>
      </c>
      <c r="F73" s="6">
        <f t="shared" si="4"/>
        <v>440</v>
      </c>
    </row>
    <row r="74" spans="1:6">
      <c r="A74" s="6">
        <v>66</v>
      </c>
      <c r="B74" s="9">
        <f t="shared" si="0"/>
        <v>44087.999792834453</v>
      </c>
      <c r="C74" s="9">
        <f t="shared" si="1"/>
        <v>500</v>
      </c>
      <c r="D74" s="10">
        <f t="shared" si="2"/>
        <v>352.70399834267562</v>
      </c>
      <c r="E74" s="9">
        <f t="shared" si="3"/>
        <v>44940.703791177126</v>
      </c>
      <c r="F74" s="6">
        <f t="shared" si="4"/>
        <v>449</v>
      </c>
    </row>
    <row r="75" spans="1:6">
      <c r="A75" s="6">
        <v>67</v>
      </c>
      <c r="B75" s="9">
        <f t="shared" ref="B75:B128" si="5">E74</f>
        <v>44940.703791177126</v>
      </c>
      <c r="C75" s="9">
        <f t="shared" ref="C75:C128" si="6">$B$3</f>
        <v>500</v>
      </c>
      <c r="D75" s="10">
        <f t="shared" ref="D75:D128" si="7">B75 * $B$4</f>
        <v>359.52563032941703</v>
      </c>
      <c r="E75" s="9">
        <f t="shared" ref="E75:E128" si="8">B75 + C75 + D75</f>
        <v>45800.229421506541</v>
      </c>
      <c r="F75" s="6">
        <f t="shared" ref="F75:F128" si="9">INT(E75 / $B$5)</f>
        <v>458</v>
      </c>
    </row>
    <row r="76" spans="1:6">
      <c r="A76" s="6">
        <v>68</v>
      </c>
      <c r="B76" s="9">
        <f t="shared" si="5"/>
        <v>45800.229421506541</v>
      </c>
      <c r="C76" s="9">
        <f t="shared" si="6"/>
        <v>500</v>
      </c>
      <c r="D76" s="10">
        <f t="shared" si="7"/>
        <v>366.40183537205235</v>
      </c>
      <c r="E76" s="9">
        <f t="shared" si="8"/>
        <v>46666.631256878594</v>
      </c>
      <c r="F76" s="6">
        <f t="shared" si="9"/>
        <v>466</v>
      </c>
    </row>
    <row r="77" spans="1:6">
      <c r="A77" s="6">
        <v>69</v>
      </c>
      <c r="B77" s="9">
        <f t="shared" si="5"/>
        <v>46666.631256878594</v>
      </c>
      <c r="C77" s="9">
        <f t="shared" si="6"/>
        <v>500</v>
      </c>
      <c r="D77" s="10">
        <f t="shared" si="7"/>
        <v>373.33305005502876</v>
      </c>
      <c r="E77" s="9">
        <f t="shared" si="8"/>
        <v>47539.964306933623</v>
      </c>
      <c r="F77" s="6">
        <f t="shared" si="9"/>
        <v>475</v>
      </c>
    </row>
    <row r="78" spans="1:6">
      <c r="A78" s="6">
        <v>70</v>
      </c>
      <c r="B78" s="9">
        <f t="shared" si="5"/>
        <v>47539.964306933623</v>
      </c>
      <c r="C78" s="9">
        <f t="shared" si="6"/>
        <v>500</v>
      </c>
      <c r="D78" s="10">
        <f t="shared" si="7"/>
        <v>380.31971445546901</v>
      </c>
      <c r="E78" s="9">
        <f t="shared" si="8"/>
        <v>48420.284021389096</v>
      </c>
      <c r="F78" s="6">
        <f t="shared" si="9"/>
        <v>484</v>
      </c>
    </row>
    <row r="79" spans="1:6">
      <c r="A79" s="6">
        <v>71</v>
      </c>
      <c r="B79" s="9">
        <f t="shared" si="5"/>
        <v>48420.284021389096</v>
      </c>
      <c r="C79" s="9">
        <f t="shared" si="6"/>
        <v>500</v>
      </c>
      <c r="D79" s="10">
        <f t="shared" si="7"/>
        <v>387.36227217111275</v>
      </c>
      <c r="E79" s="9">
        <f t="shared" si="8"/>
        <v>49307.64629356021</v>
      </c>
      <c r="F79" s="6">
        <f t="shared" si="9"/>
        <v>493</v>
      </c>
    </row>
    <row r="80" spans="1:6">
      <c r="A80" s="6">
        <v>72</v>
      </c>
      <c r="B80" s="9">
        <f t="shared" si="5"/>
        <v>49307.64629356021</v>
      </c>
      <c r="C80" s="9">
        <f t="shared" si="6"/>
        <v>500</v>
      </c>
      <c r="D80" s="10">
        <f t="shared" si="7"/>
        <v>394.46117034848169</v>
      </c>
      <c r="E80" s="9">
        <f t="shared" si="8"/>
        <v>50202.107463908695</v>
      </c>
      <c r="F80" s="6">
        <f t="shared" si="9"/>
        <v>502</v>
      </c>
    </row>
    <row r="81" spans="1:6">
      <c r="A81" s="6">
        <v>73</v>
      </c>
      <c r="B81" s="9">
        <f t="shared" si="5"/>
        <v>50202.107463908695</v>
      </c>
      <c r="C81" s="9">
        <f t="shared" si="6"/>
        <v>500</v>
      </c>
      <c r="D81" s="10">
        <f t="shared" si="7"/>
        <v>401.61685971126957</v>
      </c>
      <c r="E81" s="9">
        <f t="shared" si="8"/>
        <v>51103.724323619965</v>
      </c>
      <c r="F81" s="6">
        <f t="shared" si="9"/>
        <v>511</v>
      </c>
    </row>
    <row r="82" spans="1:6">
      <c r="A82" s="6">
        <v>74</v>
      </c>
      <c r="B82" s="9">
        <f t="shared" si="5"/>
        <v>51103.724323619965</v>
      </c>
      <c r="C82" s="9">
        <f t="shared" si="6"/>
        <v>500</v>
      </c>
      <c r="D82" s="10">
        <f t="shared" si="7"/>
        <v>408.82979458895971</v>
      </c>
      <c r="E82" s="9">
        <f t="shared" si="8"/>
        <v>52012.554118208922</v>
      </c>
      <c r="F82" s="6">
        <f t="shared" si="9"/>
        <v>520</v>
      </c>
    </row>
    <row r="83" spans="1:6">
      <c r="A83" s="6">
        <v>75</v>
      </c>
      <c r="B83" s="9">
        <f t="shared" si="5"/>
        <v>52012.554118208922</v>
      </c>
      <c r="C83" s="9">
        <f t="shared" si="6"/>
        <v>500</v>
      </c>
      <c r="D83" s="10">
        <f t="shared" si="7"/>
        <v>416.1004329456714</v>
      </c>
      <c r="E83" s="9">
        <f t="shared" si="8"/>
        <v>52928.654551154592</v>
      </c>
      <c r="F83" s="6">
        <f t="shared" si="9"/>
        <v>529</v>
      </c>
    </row>
    <row r="84" spans="1:6">
      <c r="A84" s="6">
        <v>76</v>
      </c>
      <c r="B84" s="9">
        <f t="shared" si="5"/>
        <v>52928.654551154592</v>
      </c>
      <c r="C84" s="9">
        <f t="shared" si="6"/>
        <v>500</v>
      </c>
      <c r="D84" s="10">
        <f t="shared" si="7"/>
        <v>423.42923640923675</v>
      </c>
      <c r="E84" s="9">
        <f t="shared" si="8"/>
        <v>53852.083787563832</v>
      </c>
      <c r="F84" s="6">
        <f t="shared" si="9"/>
        <v>538</v>
      </c>
    </row>
    <row r="85" spans="1:6">
      <c r="A85" s="6">
        <v>77</v>
      </c>
      <c r="B85" s="9">
        <f t="shared" si="5"/>
        <v>53852.083787563832</v>
      </c>
      <c r="C85" s="9">
        <f t="shared" si="6"/>
        <v>500</v>
      </c>
      <c r="D85" s="10">
        <f t="shared" si="7"/>
        <v>430.81667030051068</v>
      </c>
      <c r="E85" s="9">
        <f t="shared" si="8"/>
        <v>54782.900457864343</v>
      </c>
      <c r="F85" s="6">
        <f t="shared" si="9"/>
        <v>547</v>
      </c>
    </row>
    <row r="86" spans="1:6">
      <c r="A86" s="6">
        <v>78</v>
      </c>
      <c r="B86" s="9">
        <f t="shared" si="5"/>
        <v>54782.900457864343</v>
      </c>
      <c r="C86" s="9">
        <f t="shared" si="6"/>
        <v>500</v>
      </c>
      <c r="D86" s="10">
        <f t="shared" si="7"/>
        <v>438.26320366291475</v>
      </c>
      <c r="E86" s="9">
        <f t="shared" si="8"/>
        <v>55721.163661527258</v>
      </c>
      <c r="F86" s="6">
        <f t="shared" si="9"/>
        <v>557</v>
      </c>
    </row>
    <row r="87" spans="1:6">
      <c r="A87" s="6">
        <v>79</v>
      </c>
      <c r="B87" s="9">
        <f t="shared" si="5"/>
        <v>55721.163661527258</v>
      </c>
      <c r="C87" s="9">
        <f t="shared" si="6"/>
        <v>500</v>
      </c>
      <c r="D87" s="10">
        <f t="shared" si="7"/>
        <v>445.76930929221805</v>
      </c>
      <c r="E87" s="9">
        <f t="shared" si="8"/>
        <v>56666.932970819478</v>
      </c>
      <c r="F87" s="6">
        <f t="shared" si="9"/>
        <v>566</v>
      </c>
    </row>
    <row r="88" spans="1:6">
      <c r="A88" s="6">
        <v>80</v>
      </c>
      <c r="B88" s="9">
        <f t="shared" si="5"/>
        <v>56666.932970819478</v>
      </c>
      <c r="C88" s="9">
        <f t="shared" si="6"/>
        <v>500</v>
      </c>
      <c r="D88" s="10">
        <f t="shared" si="7"/>
        <v>453.33546376655585</v>
      </c>
      <c r="E88" s="9">
        <f t="shared" si="8"/>
        <v>57620.268434586033</v>
      </c>
      <c r="F88" s="6">
        <f t="shared" si="9"/>
        <v>576</v>
      </c>
    </row>
    <row r="89" spans="1:6">
      <c r="A89" s="6">
        <v>81</v>
      </c>
      <c r="B89" s="9">
        <f t="shared" si="5"/>
        <v>57620.268434586033</v>
      </c>
      <c r="C89" s="9">
        <f t="shared" si="6"/>
        <v>500</v>
      </c>
      <c r="D89" s="10">
        <f t="shared" si="7"/>
        <v>460.96214747668824</v>
      </c>
      <c r="E89" s="9">
        <f t="shared" si="8"/>
        <v>58581.230582062723</v>
      </c>
      <c r="F89" s="6">
        <f t="shared" si="9"/>
        <v>585</v>
      </c>
    </row>
    <row r="90" spans="1:6">
      <c r="A90" s="6">
        <v>82</v>
      </c>
      <c r="B90" s="9">
        <f t="shared" si="5"/>
        <v>58581.230582062723</v>
      </c>
      <c r="C90" s="9">
        <f t="shared" si="6"/>
        <v>500</v>
      </c>
      <c r="D90" s="10">
        <f t="shared" si="7"/>
        <v>468.64984465650178</v>
      </c>
      <c r="E90" s="9">
        <f t="shared" si="8"/>
        <v>59549.880426719224</v>
      </c>
      <c r="F90" s="6">
        <f t="shared" si="9"/>
        <v>595</v>
      </c>
    </row>
    <row r="91" spans="1:6">
      <c r="A91" s="6">
        <v>83</v>
      </c>
      <c r="B91" s="9">
        <f t="shared" si="5"/>
        <v>59549.880426719224</v>
      </c>
      <c r="C91" s="9">
        <f t="shared" si="6"/>
        <v>500</v>
      </c>
      <c r="D91" s="10">
        <f t="shared" si="7"/>
        <v>476.39904341375382</v>
      </c>
      <c r="E91" s="9">
        <f t="shared" si="8"/>
        <v>60526.279470132977</v>
      </c>
      <c r="F91" s="6">
        <f t="shared" si="9"/>
        <v>605</v>
      </c>
    </row>
    <row r="92" spans="1:6">
      <c r="A92" s="6">
        <v>84</v>
      </c>
      <c r="B92" s="9">
        <f t="shared" si="5"/>
        <v>60526.279470132977</v>
      </c>
      <c r="C92" s="9">
        <f t="shared" si="6"/>
        <v>500</v>
      </c>
      <c r="D92" s="10">
        <f t="shared" si="7"/>
        <v>484.21023576106381</v>
      </c>
      <c r="E92" s="9">
        <f t="shared" si="8"/>
        <v>61510.489705894041</v>
      </c>
      <c r="F92" s="6">
        <f t="shared" si="9"/>
        <v>615</v>
      </c>
    </row>
    <row r="93" spans="1:6">
      <c r="A93" s="6">
        <v>85</v>
      </c>
      <c r="B93" s="9">
        <f t="shared" si="5"/>
        <v>61510.489705894041</v>
      </c>
      <c r="C93" s="9">
        <f t="shared" si="6"/>
        <v>500</v>
      </c>
      <c r="D93" s="10">
        <f t="shared" si="7"/>
        <v>492.08391764715236</v>
      </c>
      <c r="E93" s="9">
        <f t="shared" si="8"/>
        <v>62502.57362354119</v>
      </c>
      <c r="F93" s="6">
        <f t="shared" si="9"/>
        <v>625</v>
      </c>
    </row>
    <row r="94" spans="1:6">
      <c r="A94" s="6">
        <v>86</v>
      </c>
      <c r="B94" s="9">
        <f t="shared" si="5"/>
        <v>62502.57362354119</v>
      </c>
      <c r="C94" s="9">
        <f t="shared" si="6"/>
        <v>500</v>
      </c>
      <c r="D94" s="10">
        <f t="shared" si="7"/>
        <v>500.02058898832951</v>
      </c>
      <c r="E94" s="9">
        <f t="shared" si="8"/>
        <v>63502.594212529519</v>
      </c>
      <c r="F94" s="6">
        <f t="shared" si="9"/>
        <v>635</v>
      </c>
    </row>
    <row r="95" spans="1:6">
      <c r="A95" s="6">
        <v>87</v>
      </c>
      <c r="B95" s="9">
        <f t="shared" si="5"/>
        <v>63502.594212529519</v>
      </c>
      <c r="C95" s="9">
        <f t="shared" si="6"/>
        <v>500</v>
      </c>
      <c r="D95" s="10">
        <f t="shared" si="7"/>
        <v>508.02075370023618</v>
      </c>
      <c r="E95" s="9">
        <f t="shared" si="8"/>
        <v>64510.614966229754</v>
      </c>
      <c r="F95" s="6">
        <f t="shared" si="9"/>
        <v>645</v>
      </c>
    </row>
    <row r="96" spans="1:6">
      <c r="A96" s="6">
        <v>88</v>
      </c>
      <c r="B96" s="9">
        <f t="shared" si="5"/>
        <v>64510.614966229754</v>
      </c>
      <c r="C96" s="9">
        <f t="shared" si="6"/>
        <v>500</v>
      </c>
      <c r="D96" s="10">
        <f t="shared" si="7"/>
        <v>516.08491972983802</v>
      </c>
      <c r="E96" s="9">
        <f t="shared" si="8"/>
        <v>65526.699885959591</v>
      </c>
      <c r="F96" s="6">
        <f t="shared" si="9"/>
        <v>655</v>
      </c>
    </row>
    <row r="97" spans="1:6">
      <c r="A97" s="6">
        <v>89</v>
      </c>
      <c r="B97" s="9">
        <f t="shared" si="5"/>
        <v>65526.699885959591</v>
      </c>
      <c r="C97" s="9">
        <f t="shared" si="6"/>
        <v>500</v>
      </c>
      <c r="D97" s="10">
        <f t="shared" si="7"/>
        <v>524.2135990876767</v>
      </c>
      <c r="E97" s="9">
        <f t="shared" si="8"/>
        <v>66550.913485047262</v>
      </c>
      <c r="F97" s="6">
        <f t="shared" si="9"/>
        <v>665</v>
      </c>
    </row>
    <row r="98" spans="1:6">
      <c r="A98" s="6">
        <v>90</v>
      </c>
      <c r="B98" s="9">
        <f t="shared" si="5"/>
        <v>66550.913485047262</v>
      </c>
      <c r="C98" s="9">
        <f t="shared" si="6"/>
        <v>500</v>
      </c>
      <c r="D98" s="10">
        <f t="shared" si="7"/>
        <v>532.40730788037808</v>
      </c>
      <c r="E98" s="9">
        <f t="shared" si="8"/>
        <v>67583.32079292764</v>
      </c>
      <c r="F98" s="6">
        <f t="shared" si="9"/>
        <v>675</v>
      </c>
    </row>
    <row r="99" spans="1:6">
      <c r="A99" s="6">
        <v>91</v>
      </c>
      <c r="B99" s="9">
        <f t="shared" si="5"/>
        <v>67583.32079292764</v>
      </c>
      <c r="C99" s="9">
        <f t="shared" si="6"/>
        <v>500</v>
      </c>
      <c r="D99" s="10">
        <f t="shared" si="7"/>
        <v>540.6665663434211</v>
      </c>
      <c r="E99" s="9">
        <f t="shared" si="8"/>
        <v>68623.987359271065</v>
      </c>
      <c r="F99" s="6">
        <f t="shared" si="9"/>
        <v>686</v>
      </c>
    </row>
    <row r="100" spans="1:6">
      <c r="A100" s="6">
        <v>92</v>
      </c>
      <c r="B100" s="9">
        <f t="shared" si="5"/>
        <v>68623.987359271065</v>
      </c>
      <c r="C100" s="9">
        <f t="shared" si="6"/>
        <v>500</v>
      </c>
      <c r="D100" s="10">
        <f t="shared" si="7"/>
        <v>548.99189887416856</v>
      </c>
      <c r="E100" s="9">
        <f t="shared" si="8"/>
        <v>69672.979258145235</v>
      </c>
      <c r="F100" s="6">
        <f t="shared" si="9"/>
        <v>696</v>
      </c>
    </row>
    <row r="101" spans="1:6">
      <c r="A101" s="6">
        <v>93</v>
      </c>
      <c r="B101" s="9">
        <f t="shared" si="5"/>
        <v>69672.979258145235</v>
      </c>
      <c r="C101" s="9">
        <f t="shared" si="6"/>
        <v>500</v>
      </c>
      <c r="D101" s="10">
        <f t="shared" si="7"/>
        <v>557.38383406516186</v>
      </c>
      <c r="E101" s="9">
        <f t="shared" si="8"/>
        <v>70730.363092210391</v>
      </c>
      <c r="F101" s="6">
        <f t="shared" si="9"/>
        <v>707</v>
      </c>
    </row>
    <row r="102" spans="1:6">
      <c r="A102" s="6">
        <v>94</v>
      </c>
      <c r="B102" s="9">
        <f t="shared" si="5"/>
        <v>70730.363092210391</v>
      </c>
      <c r="C102" s="9">
        <f t="shared" si="6"/>
        <v>500</v>
      </c>
      <c r="D102" s="10">
        <f t="shared" si="7"/>
        <v>565.84290473768317</v>
      </c>
      <c r="E102" s="9">
        <f t="shared" si="8"/>
        <v>71796.205996948076</v>
      </c>
      <c r="F102" s="6">
        <f t="shared" si="9"/>
        <v>717</v>
      </c>
    </row>
    <row r="103" spans="1:6">
      <c r="A103" s="6">
        <v>95</v>
      </c>
      <c r="B103" s="9">
        <f t="shared" si="5"/>
        <v>71796.205996948076</v>
      </c>
      <c r="C103" s="9">
        <f t="shared" si="6"/>
        <v>500</v>
      </c>
      <c r="D103" s="10">
        <f t="shared" si="7"/>
        <v>574.3696479755846</v>
      </c>
      <c r="E103" s="9">
        <f t="shared" si="8"/>
        <v>72870.575644923665</v>
      </c>
      <c r="F103" s="6">
        <f t="shared" si="9"/>
        <v>728</v>
      </c>
    </row>
    <row r="104" spans="1:6">
      <c r="A104" s="6">
        <v>96</v>
      </c>
      <c r="B104" s="9">
        <f t="shared" si="5"/>
        <v>72870.575644923665</v>
      </c>
      <c r="C104" s="9">
        <f t="shared" si="6"/>
        <v>500</v>
      </c>
      <c r="D104" s="10">
        <f t="shared" si="7"/>
        <v>582.96460515938929</v>
      </c>
      <c r="E104" s="9">
        <f t="shared" si="8"/>
        <v>73953.540250083053</v>
      </c>
      <c r="F104" s="6">
        <f t="shared" si="9"/>
        <v>739</v>
      </c>
    </row>
    <row r="105" spans="1:6">
      <c r="A105" s="6">
        <v>97</v>
      </c>
      <c r="B105" s="9">
        <f t="shared" si="5"/>
        <v>73953.540250083053</v>
      </c>
      <c r="C105" s="9">
        <f t="shared" si="6"/>
        <v>500</v>
      </c>
      <c r="D105" s="10">
        <f t="shared" si="7"/>
        <v>591.62832200066441</v>
      </c>
      <c r="E105" s="9">
        <f t="shared" si="8"/>
        <v>75045.168572083712</v>
      </c>
      <c r="F105" s="6">
        <f t="shared" si="9"/>
        <v>750</v>
      </c>
    </row>
    <row r="106" spans="1:6">
      <c r="A106" s="6">
        <v>98</v>
      </c>
      <c r="B106" s="9">
        <f t="shared" si="5"/>
        <v>75045.168572083712</v>
      </c>
      <c r="C106" s="9">
        <f t="shared" si="6"/>
        <v>500</v>
      </c>
      <c r="D106" s="10">
        <f t="shared" si="7"/>
        <v>600.36134857666968</v>
      </c>
      <c r="E106" s="9">
        <f t="shared" si="8"/>
        <v>76145.529920660381</v>
      </c>
      <c r="F106" s="6">
        <f t="shared" si="9"/>
        <v>761</v>
      </c>
    </row>
    <row r="107" spans="1:6">
      <c r="A107" s="6">
        <v>99</v>
      </c>
      <c r="B107" s="9">
        <f t="shared" si="5"/>
        <v>76145.529920660381</v>
      </c>
      <c r="C107" s="9">
        <f t="shared" si="6"/>
        <v>500</v>
      </c>
      <c r="D107" s="10">
        <f t="shared" si="7"/>
        <v>609.16423936528304</v>
      </c>
      <c r="E107" s="9">
        <f t="shared" si="8"/>
        <v>77254.694160025669</v>
      </c>
      <c r="F107" s="6">
        <f t="shared" si="9"/>
        <v>772</v>
      </c>
    </row>
    <row r="108" spans="1:6">
      <c r="A108" s="6">
        <v>100</v>
      </c>
      <c r="B108" s="9">
        <f t="shared" si="5"/>
        <v>77254.694160025669</v>
      </c>
      <c r="C108" s="9">
        <f t="shared" si="6"/>
        <v>500</v>
      </c>
      <c r="D108" s="10">
        <f t="shared" si="7"/>
        <v>618.03755328020532</v>
      </c>
      <c r="E108" s="9">
        <f t="shared" si="8"/>
        <v>78372.731713305868</v>
      </c>
      <c r="F108" s="6">
        <f t="shared" si="9"/>
        <v>783</v>
      </c>
    </row>
    <row r="109" spans="1:6">
      <c r="A109" s="6">
        <v>101</v>
      </c>
      <c r="B109" s="9">
        <f t="shared" si="5"/>
        <v>78372.731713305868</v>
      </c>
      <c r="C109" s="9">
        <f t="shared" si="6"/>
        <v>500</v>
      </c>
      <c r="D109" s="10">
        <f t="shared" si="7"/>
        <v>626.98185370644694</v>
      </c>
      <c r="E109" s="9">
        <f t="shared" si="8"/>
        <v>79499.71356701231</v>
      </c>
      <c r="F109" s="6">
        <f t="shared" si="9"/>
        <v>794</v>
      </c>
    </row>
    <row r="110" spans="1:6">
      <c r="A110" s="6">
        <v>102</v>
      </c>
      <c r="B110" s="9">
        <f t="shared" si="5"/>
        <v>79499.71356701231</v>
      </c>
      <c r="C110" s="9">
        <f t="shared" si="6"/>
        <v>500</v>
      </c>
      <c r="D110" s="10">
        <f t="shared" si="7"/>
        <v>635.99770853609846</v>
      </c>
      <c r="E110" s="9">
        <f t="shared" si="8"/>
        <v>80635.711275548412</v>
      </c>
      <c r="F110" s="6">
        <f t="shared" si="9"/>
        <v>806</v>
      </c>
    </row>
    <row r="111" spans="1:6">
      <c r="A111" s="6">
        <v>103</v>
      </c>
      <c r="B111" s="9">
        <f t="shared" si="5"/>
        <v>80635.711275548412</v>
      </c>
      <c r="C111" s="9">
        <f t="shared" si="6"/>
        <v>500</v>
      </c>
      <c r="D111" s="10">
        <f t="shared" si="7"/>
        <v>645.08569020438733</v>
      </c>
      <c r="E111" s="9">
        <f t="shared" si="8"/>
        <v>81780.796965752801</v>
      </c>
      <c r="F111" s="6">
        <f t="shared" si="9"/>
        <v>817</v>
      </c>
    </row>
    <row r="112" spans="1:6">
      <c r="A112" s="6">
        <v>104</v>
      </c>
      <c r="B112" s="9">
        <f t="shared" si="5"/>
        <v>81780.796965752801</v>
      </c>
      <c r="C112" s="9">
        <f t="shared" si="6"/>
        <v>500</v>
      </c>
      <c r="D112" s="10">
        <f t="shared" si="7"/>
        <v>654.24637572602239</v>
      </c>
      <c r="E112" s="9">
        <f t="shared" si="8"/>
        <v>82935.043341478828</v>
      </c>
      <c r="F112" s="6">
        <f t="shared" si="9"/>
        <v>829</v>
      </c>
    </row>
    <row r="113" spans="1:6">
      <c r="A113" s="6">
        <v>105</v>
      </c>
      <c r="B113" s="9">
        <f t="shared" si="5"/>
        <v>82935.043341478828</v>
      </c>
      <c r="C113" s="9">
        <f t="shared" si="6"/>
        <v>500</v>
      </c>
      <c r="D113" s="10">
        <f t="shared" si="7"/>
        <v>663.48034673183065</v>
      </c>
      <c r="E113" s="9">
        <f t="shared" si="8"/>
        <v>84098.523688210655</v>
      </c>
      <c r="F113" s="6">
        <f t="shared" si="9"/>
        <v>840</v>
      </c>
    </row>
    <row r="114" spans="1:6">
      <c r="A114" s="6">
        <v>106</v>
      </c>
      <c r="B114" s="9">
        <f t="shared" si="5"/>
        <v>84098.523688210655</v>
      </c>
      <c r="C114" s="9">
        <f t="shared" si="6"/>
        <v>500</v>
      </c>
      <c r="D114" s="10">
        <f t="shared" si="7"/>
        <v>672.7881895056853</v>
      </c>
      <c r="E114" s="9">
        <f t="shared" si="8"/>
        <v>85271.311877716333</v>
      </c>
      <c r="F114" s="6">
        <f t="shared" si="9"/>
        <v>852</v>
      </c>
    </row>
    <row r="115" spans="1:6">
      <c r="A115" s="6">
        <v>107</v>
      </c>
      <c r="B115" s="9">
        <f t="shared" si="5"/>
        <v>85271.311877716333</v>
      </c>
      <c r="C115" s="9">
        <f t="shared" si="6"/>
        <v>500</v>
      </c>
      <c r="D115" s="10">
        <f t="shared" si="7"/>
        <v>682.17049502173063</v>
      </c>
      <c r="E115" s="9">
        <f t="shared" si="8"/>
        <v>86453.482372738057</v>
      </c>
      <c r="F115" s="6">
        <f t="shared" si="9"/>
        <v>864</v>
      </c>
    </row>
    <row r="116" spans="1:6">
      <c r="A116" s="6">
        <v>108</v>
      </c>
      <c r="B116" s="9">
        <f t="shared" si="5"/>
        <v>86453.482372738057</v>
      </c>
      <c r="C116" s="9">
        <f t="shared" si="6"/>
        <v>500</v>
      </c>
      <c r="D116" s="10">
        <f t="shared" si="7"/>
        <v>691.62785898190452</v>
      </c>
      <c r="E116" s="9">
        <f t="shared" si="8"/>
        <v>87645.110231719955</v>
      </c>
      <c r="F116" s="6">
        <f t="shared" si="9"/>
        <v>876</v>
      </c>
    </row>
    <row r="117" spans="1:6">
      <c r="A117" s="6">
        <v>109</v>
      </c>
      <c r="B117" s="9">
        <f t="shared" si="5"/>
        <v>87645.110231719955</v>
      </c>
      <c r="C117" s="9">
        <f t="shared" si="6"/>
        <v>500</v>
      </c>
      <c r="D117" s="10">
        <f t="shared" si="7"/>
        <v>701.16088185375963</v>
      </c>
      <c r="E117" s="9">
        <f t="shared" si="8"/>
        <v>88846.271113573719</v>
      </c>
      <c r="F117" s="6">
        <f t="shared" si="9"/>
        <v>888</v>
      </c>
    </row>
    <row r="118" spans="1:6">
      <c r="A118" s="6">
        <v>110</v>
      </c>
      <c r="B118" s="9">
        <f t="shared" si="5"/>
        <v>88846.271113573719</v>
      </c>
      <c r="C118" s="9">
        <f t="shared" si="6"/>
        <v>500</v>
      </c>
      <c r="D118" s="10">
        <f t="shared" si="7"/>
        <v>710.77016890858977</v>
      </c>
      <c r="E118" s="9">
        <f t="shared" si="8"/>
        <v>90057.041282482314</v>
      </c>
      <c r="F118" s="6">
        <f t="shared" si="9"/>
        <v>900</v>
      </c>
    </row>
    <row r="119" spans="1:6">
      <c r="A119" s="6">
        <v>111</v>
      </c>
      <c r="B119" s="9">
        <f t="shared" si="5"/>
        <v>90057.041282482314</v>
      </c>
      <c r="C119" s="9">
        <f t="shared" si="6"/>
        <v>500</v>
      </c>
      <c r="D119" s="10">
        <f t="shared" si="7"/>
        <v>720.45633025985853</v>
      </c>
      <c r="E119" s="9">
        <f t="shared" si="8"/>
        <v>91277.497612742169</v>
      </c>
      <c r="F119" s="6">
        <f t="shared" si="9"/>
        <v>912</v>
      </c>
    </row>
    <row r="120" spans="1:6">
      <c r="A120" s="6">
        <v>112</v>
      </c>
      <c r="B120" s="9">
        <f t="shared" si="5"/>
        <v>91277.497612742169</v>
      </c>
      <c r="C120" s="9">
        <f t="shared" si="6"/>
        <v>500</v>
      </c>
      <c r="D120" s="10">
        <f t="shared" si="7"/>
        <v>730.21998090193733</v>
      </c>
      <c r="E120" s="9">
        <f t="shared" si="8"/>
        <v>92507.717593644105</v>
      </c>
      <c r="F120" s="6">
        <f t="shared" si="9"/>
        <v>925</v>
      </c>
    </row>
    <row r="121" spans="1:6">
      <c r="A121" s="6">
        <v>113</v>
      </c>
      <c r="B121" s="9">
        <f t="shared" si="5"/>
        <v>92507.717593644105</v>
      </c>
      <c r="C121" s="9">
        <f t="shared" si="6"/>
        <v>500</v>
      </c>
      <c r="D121" s="10">
        <f t="shared" si="7"/>
        <v>740.06174074915282</v>
      </c>
      <c r="E121" s="9">
        <f t="shared" si="8"/>
        <v>93747.779334393257</v>
      </c>
      <c r="F121" s="6">
        <f t="shared" si="9"/>
        <v>937</v>
      </c>
    </row>
    <row r="122" spans="1:6">
      <c r="A122" s="6">
        <v>114</v>
      </c>
      <c r="B122" s="9">
        <f t="shared" si="5"/>
        <v>93747.779334393257</v>
      </c>
      <c r="C122" s="9">
        <f t="shared" si="6"/>
        <v>500</v>
      </c>
      <c r="D122" s="10">
        <f t="shared" si="7"/>
        <v>749.98223467514606</v>
      </c>
      <c r="E122" s="9">
        <f t="shared" si="8"/>
        <v>94997.761569068403</v>
      </c>
      <c r="F122" s="6">
        <f t="shared" si="9"/>
        <v>949</v>
      </c>
    </row>
    <row r="123" spans="1:6">
      <c r="A123" s="6">
        <v>115</v>
      </c>
      <c r="B123" s="9">
        <f t="shared" si="5"/>
        <v>94997.761569068403</v>
      </c>
      <c r="C123" s="9">
        <f t="shared" si="6"/>
        <v>500</v>
      </c>
      <c r="D123" s="10">
        <f t="shared" si="7"/>
        <v>759.98209255254721</v>
      </c>
      <c r="E123" s="9">
        <f t="shared" si="8"/>
        <v>96257.743661620945</v>
      </c>
      <c r="F123" s="6">
        <f t="shared" si="9"/>
        <v>962</v>
      </c>
    </row>
    <row r="124" spans="1:6">
      <c r="A124" s="6">
        <v>116</v>
      </c>
      <c r="B124" s="9">
        <f t="shared" si="5"/>
        <v>96257.743661620945</v>
      </c>
      <c r="C124" s="9">
        <f t="shared" si="6"/>
        <v>500</v>
      </c>
      <c r="D124" s="10">
        <f t="shared" si="7"/>
        <v>770.0619492929676</v>
      </c>
      <c r="E124" s="9">
        <f t="shared" si="8"/>
        <v>97527.805610913914</v>
      </c>
      <c r="F124" s="6">
        <f t="shared" si="9"/>
        <v>975</v>
      </c>
    </row>
    <row r="125" spans="1:6">
      <c r="A125" s="6">
        <v>117</v>
      </c>
      <c r="B125" s="9">
        <f t="shared" si="5"/>
        <v>97527.805610913914</v>
      </c>
      <c r="C125" s="9">
        <f t="shared" si="6"/>
        <v>500</v>
      </c>
      <c r="D125" s="10">
        <f t="shared" si="7"/>
        <v>780.22244488731133</v>
      </c>
      <c r="E125" s="9">
        <f t="shared" si="8"/>
        <v>98808.028055801231</v>
      </c>
      <c r="F125" s="6">
        <f t="shared" si="9"/>
        <v>988</v>
      </c>
    </row>
    <row r="126" spans="1:6">
      <c r="A126" s="6">
        <v>118</v>
      </c>
      <c r="B126" s="9">
        <f t="shared" si="5"/>
        <v>98808.028055801231</v>
      </c>
      <c r="C126" s="9">
        <f t="shared" si="6"/>
        <v>500</v>
      </c>
      <c r="D126" s="10">
        <f t="shared" si="7"/>
        <v>790.46422444640984</v>
      </c>
      <c r="E126" s="9">
        <f t="shared" si="8"/>
        <v>100098.49228024764</v>
      </c>
      <c r="F126" s="6">
        <f t="shared" si="9"/>
        <v>1000</v>
      </c>
    </row>
    <row r="127" spans="1:6">
      <c r="A127" s="6">
        <v>119</v>
      </c>
      <c r="B127" s="9">
        <f t="shared" si="5"/>
        <v>100098.49228024764</v>
      </c>
      <c r="C127" s="9">
        <f t="shared" si="6"/>
        <v>500</v>
      </c>
      <c r="D127" s="10">
        <f t="shared" si="7"/>
        <v>800.78793824198112</v>
      </c>
      <c r="E127" s="9">
        <f t="shared" si="8"/>
        <v>101399.28021848961</v>
      </c>
      <c r="F127" s="6">
        <f t="shared" si="9"/>
        <v>1013</v>
      </c>
    </row>
    <row r="128" spans="1:6">
      <c r="A128" s="6">
        <v>120</v>
      </c>
      <c r="B128" s="9">
        <f t="shared" si="5"/>
        <v>101399.28021848961</v>
      </c>
      <c r="C128" s="9">
        <f t="shared" si="6"/>
        <v>500</v>
      </c>
      <c r="D128" s="10">
        <f t="shared" si="7"/>
        <v>811.19424174791698</v>
      </c>
      <c r="E128" s="9">
        <f t="shared" si="8"/>
        <v>102710.47446023753</v>
      </c>
      <c r="F128" s="6">
        <f t="shared" si="9"/>
        <v>1027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2026-02-09T13:50:10Z</dcterms:created>
  <dcterms:modified xsi:type="dcterms:W3CDTF">2026-02-09T14:15:46Z</dcterms:modified>
  <cp:category/>
  <cp:contentStatus/>
</cp:coreProperties>
</file>